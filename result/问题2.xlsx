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CF918384-7A1F-43E4-81CD-65CECF472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C8" i="1"/>
  <c r="D6" i="1"/>
  <c r="E6" i="1"/>
  <c r="F6" i="1"/>
  <c r="G6" i="1"/>
  <c r="H6" i="1"/>
  <c r="I6" i="1"/>
  <c r="J6" i="1"/>
  <c r="C6" i="1"/>
  <c r="D10" i="1"/>
  <c r="E10" i="1"/>
  <c r="F10" i="1"/>
  <c r="G10" i="1"/>
  <c r="H10" i="1"/>
  <c r="I10" i="1"/>
  <c r="J10" i="1"/>
  <c r="C10" i="1"/>
  <c r="C4" i="1"/>
  <c r="D4" i="1"/>
  <c r="E4" i="1"/>
  <c r="F4" i="1"/>
  <c r="G4" i="1"/>
  <c r="H4" i="1"/>
  <c r="I4" i="1"/>
  <c r="J4" i="1"/>
  <c r="C3" i="1"/>
  <c r="D9" i="1"/>
  <c r="E9" i="1"/>
  <c r="F9" i="1"/>
  <c r="G9" i="1"/>
  <c r="H9" i="1"/>
  <c r="I9" i="1"/>
  <c r="J9" i="1"/>
  <c r="C9" i="1"/>
  <c r="C5" i="1"/>
  <c r="D5" i="1"/>
  <c r="E5" i="1"/>
  <c r="F5" i="1"/>
  <c r="G5" i="1"/>
  <c r="H5" i="1"/>
  <c r="I5" i="1"/>
  <c r="J5" i="1"/>
  <c r="D7" i="1"/>
  <c r="E7" i="1"/>
  <c r="F7" i="1"/>
  <c r="G7" i="1"/>
  <c r="H7" i="1"/>
  <c r="I7" i="1"/>
  <c r="J7" i="1"/>
  <c r="C7" i="1"/>
  <c r="D3" i="1"/>
  <c r="E3" i="1"/>
  <c r="F3" i="1"/>
  <c r="G3" i="1"/>
  <c r="H3" i="1"/>
  <c r="I3" i="1"/>
  <c r="J3" i="1"/>
</calcChain>
</file>

<file path=xl/sharedStrings.xml><?xml version="1.0" encoding="utf-8"?>
<sst xmlns="http://schemas.openxmlformats.org/spreadsheetml/2006/main" count="3" uniqueCount="3">
  <si>
    <t>测量船距海域中心点处的距离/海里</t>
    <phoneticPr fontId="1" type="noConversion"/>
  </si>
  <si>
    <t>覆盖宽度/m</t>
    <phoneticPr fontId="1" type="noConversion"/>
  </si>
  <si>
    <t>测线方向夹角/°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</si>
</sst>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L12" sqref="L12"/>
    </sheetView>
  </sheetViews>
  <sheetFormatPr defaultRowHeight="13.8" x14ac:dyDescent="0.25"/>
  <cols>
    <col min="1" max="2" width="8.6640625" customWidth="1"/>
    <col min="3" max="3" width="14.109375" bestFit="1" customWidth="1"/>
  </cols>
  <sheetData>
    <row r="1" spans="1:10" ht="25.05" customHeight="1" x14ac:dyDescent="0.25">
      <c r="A1" s="2" t="s">
        <v>1</v>
      </c>
      <c r="B1" s="2"/>
      <c r="C1" s="2" t="s">
        <v>0</v>
      </c>
      <c r="D1" s="2"/>
      <c r="E1" s="2"/>
      <c r="F1" s="2"/>
      <c r="G1" s="2"/>
      <c r="H1" s="2"/>
      <c r="I1" s="2"/>
      <c r="J1" s="2"/>
    </row>
    <row r="2" spans="1:10" ht="25.05" customHeight="1" x14ac:dyDescent="0.25">
      <c r="A2" s="2"/>
      <c r="B2" s="2"/>
      <c r="C2" s="1">
        <v>0</v>
      </c>
      <c r="D2" s="1">
        <v>0.3</v>
      </c>
      <c r="E2" s="1">
        <v>0.6</v>
      </c>
      <c r="F2" s="1">
        <v>0.9</v>
      </c>
      <c r="G2" s="1">
        <v>1.2</v>
      </c>
      <c r="H2" s="1">
        <v>1.5</v>
      </c>
      <c r="I2" s="1">
        <v>1.8</v>
      </c>
      <c r="J2" s="1">
        <v>2.1</v>
      </c>
    </row>
    <row r="3" spans="1:10" ht="25.05" customHeight="1" x14ac:dyDescent="0.25">
      <c r="A3" s="2" t="s">
        <v>2</v>
      </c>
      <c r="B3" s="1">
        <v>0</v>
      </c>
      <c r="C3" s="1">
        <f>2*SQRT(3)*(120+1852*C2*TAN(RADIANS(1.5)))/(1-3*(TAN(RADIANS(1.5)))^2)/COS(RADIANS(1.5))</f>
        <v>416.69186993545009</v>
      </c>
      <c r="D3" s="1">
        <f t="shared" ref="D3:J3" si="0">2*SQRT(3)*(120+1852*D2*TAN(RADIANS(1.5)))/(1-3*(TAN(RADIANS(1.5)))^2)/COS(RADIANS(1.5))</f>
        <v>467.21193262756822</v>
      </c>
      <c r="E3" s="1">
        <f t="shared" si="0"/>
        <v>517.73199531968635</v>
      </c>
      <c r="F3" s="1">
        <f t="shared" si="0"/>
        <v>568.25205801180448</v>
      </c>
      <c r="G3" s="1">
        <f t="shared" si="0"/>
        <v>618.7721207039225</v>
      </c>
      <c r="H3" s="1">
        <f t="shared" si="0"/>
        <v>669.29218339604063</v>
      </c>
      <c r="I3" s="1">
        <f t="shared" si="0"/>
        <v>719.81224608815887</v>
      </c>
      <c r="J3" s="1">
        <f t="shared" si="0"/>
        <v>770.33230878027689</v>
      </c>
    </row>
    <row r="4" spans="1:10" ht="25.05" customHeight="1" x14ac:dyDescent="0.25">
      <c r="A4" s="2"/>
      <c r="B4" s="1">
        <v>45</v>
      </c>
      <c r="C4" s="1">
        <f>2*SQRT(3)*(120+1852*C2*SQRT(2)*(0.5)*TAN(RADIANS(1.5)))/(1-3*(TAN(RADIANS(1.5))*SQRT(2)*(0.5))^2)/SQRT(2)*SQRT(2+TAN(RADIANS(1.5))^2)</f>
        <v>416.19152334741995</v>
      </c>
      <c r="D4" s="1">
        <f t="shared" ref="D4:J4" si="1">2*SQRT(3)*(120+1852*D2*SQRT(2)*(0.5)*TAN(RADIANS(1.5)))/(1-3*(TAN(RADIANS(1.5))*SQRT(2)*(0.5))^2)/SQRT(2)*SQRT(2+TAN(RADIANS(1.5))^2)</f>
        <v>451.87170744804274</v>
      </c>
      <c r="E4" s="1">
        <f t="shared" si="1"/>
        <v>487.55189154866548</v>
      </c>
      <c r="F4" s="1">
        <f t="shared" si="1"/>
        <v>523.23207564928816</v>
      </c>
      <c r="G4" s="1">
        <f t="shared" si="1"/>
        <v>558.91225974991085</v>
      </c>
      <c r="H4" s="1">
        <f t="shared" si="1"/>
        <v>594.59244385053353</v>
      </c>
      <c r="I4" s="1">
        <f t="shared" si="1"/>
        <v>630.27262795115644</v>
      </c>
      <c r="J4" s="1">
        <f t="shared" si="1"/>
        <v>665.95281205177923</v>
      </c>
    </row>
    <row r="5" spans="1:10" ht="25.05" customHeight="1" x14ac:dyDescent="0.25">
      <c r="A5" s="2"/>
      <c r="B5" s="1">
        <v>90</v>
      </c>
      <c r="C5" s="1">
        <f>240*SQRT(3)/(1-3*(TAN(RADIANS(1.5))))/(COS(RADIANS(1.5)))</f>
        <v>451.28676986149793</v>
      </c>
      <c r="D5" s="1">
        <f t="shared" ref="D5:J5" si="2">240*SQRT(3)/(1-3*(TAN(RADIANS(1.5))))/(COS(RADIANS(1.5)))</f>
        <v>451.28676986149793</v>
      </c>
      <c r="E5" s="1">
        <f t="shared" si="2"/>
        <v>451.28676986149793</v>
      </c>
      <c r="F5" s="1">
        <f t="shared" si="2"/>
        <v>451.28676986149793</v>
      </c>
      <c r="G5" s="1">
        <f t="shared" si="2"/>
        <v>451.28676986149793</v>
      </c>
      <c r="H5" s="1">
        <f t="shared" si="2"/>
        <v>451.28676986149793</v>
      </c>
      <c r="I5" s="1">
        <f t="shared" si="2"/>
        <v>451.28676986149793</v>
      </c>
      <c r="J5" s="1">
        <f t="shared" si="2"/>
        <v>451.28676986149793</v>
      </c>
    </row>
    <row r="6" spans="1:10" ht="25.05" customHeight="1" x14ac:dyDescent="0.25">
      <c r="A6" s="2"/>
      <c r="B6" s="1">
        <v>135</v>
      </c>
      <c r="C6" s="1">
        <f>2*SQRT(3)*(120-1852*C2*SQRT(2)*(0.5)*TAN(RADIANS(1.5)))/(1-3*(TAN(RADIANS(1.5))*SQRT(2)*(0.5))^2)/SQRT(2)*SQRT(2+TAN(RADIANS(1.5))^2)</f>
        <v>416.19152334741995</v>
      </c>
      <c r="D6" s="1">
        <f t="shared" ref="D6:J6" si="3">2*SQRT(3)*(120-1852*D2*SQRT(2)*(0.5)*TAN(RADIANS(1.5)))/(1-3*(TAN(RADIANS(1.5))*SQRT(2)*(0.5))^2)/SQRT(2)*SQRT(2+TAN(RADIANS(1.5))^2)</f>
        <v>380.51133924679726</v>
      </c>
      <c r="E6" s="1">
        <f t="shared" si="3"/>
        <v>344.83115514617452</v>
      </c>
      <c r="F6" s="1">
        <f t="shared" si="3"/>
        <v>309.15097104555173</v>
      </c>
      <c r="G6" s="1">
        <f t="shared" si="3"/>
        <v>273.47078694492899</v>
      </c>
      <c r="H6" s="1">
        <f t="shared" si="3"/>
        <v>237.79060284430628</v>
      </c>
      <c r="I6" s="1">
        <f t="shared" si="3"/>
        <v>202.11041874368351</v>
      </c>
      <c r="J6" s="1">
        <f t="shared" si="3"/>
        <v>166.4302346430608</v>
      </c>
    </row>
    <row r="7" spans="1:10" ht="25.05" customHeight="1" x14ac:dyDescent="0.25">
      <c r="A7" s="2"/>
      <c r="B7" s="1">
        <v>180</v>
      </c>
      <c r="C7" s="1">
        <f>2*SQRT(3)*(120-1852*C2*TAN(RADIANS(1.5)))/(1-3*(TAN(RADIANS(1.5)))^2)/COS(RADIANS(1.5))</f>
        <v>416.69186993545009</v>
      </c>
      <c r="D7" s="1">
        <f t="shared" ref="D7:J7" si="4">2*SQRT(3)*(120-1852*D2*TAN(RADIANS(1.5)))/(1-3*(TAN(RADIANS(1.5)))^2)/COS(RADIANS(1.5))</f>
        <v>366.17180724333207</v>
      </c>
      <c r="E7" s="1">
        <f t="shared" si="4"/>
        <v>315.65174455121394</v>
      </c>
      <c r="F7" s="1">
        <f t="shared" si="4"/>
        <v>265.13168185909581</v>
      </c>
      <c r="G7" s="1">
        <f t="shared" si="4"/>
        <v>214.61161916697773</v>
      </c>
      <c r="H7" s="1">
        <f t="shared" si="4"/>
        <v>164.09155647485963</v>
      </c>
      <c r="I7" s="1">
        <f t="shared" si="4"/>
        <v>113.5714937827415</v>
      </c>
      <c r="J7" s="1">
        <f t="shared" si="4"/>
        <v>63.051431090623375</v>
      </c>
    </row>
    <row r="8" spans="1:10" ht="25.05" customHeight="1" x14ac:dyDescent="0.25">
      <c r="A8" s="2"/>
      <c r="B8" s="1">
        <v>225</v>
      </c>
      <c r="C8" s="1">
        <f>2*SQRT(3)*(120-1852*C2*SQRT(2)*(0.5)*TAN(RADIANS(1.5)))/(1-3*(TAN(RADIANS(1.5))*SQRT(2)*(0.5))^2)/SQRT(2)*SQRT(2+TAN(RADIANS(1.5))^2)</f>
        <v>416.19152334741995</v>
      </c>
      <c r="D8" s="1">
        <f t="shared" ref="D8:J8" si="5">2*SQRT(3)*(120-1852*D2*SQRT(2)*(0.5)*TAN(RADIANS(1.5)))/(1-3*(TAN(RADIANS(1.5))*SQRT(2)*(0.5))^2)/SQRT(2)*SQRT(2+TAN(RADIANS(1.5))^2)</f>
        <v>380.51133924679726</v>
      </c>
      <c r="E8" s="1">
        <f t="shared" si="5"/>
        <v>344.83115514617452</v>
      </c>
      <c r="F8" s="1">
        <f t="shared" si="5"/>
        <v>309.15097104555173</v>
      </c>
      <c r="G8" s="1">
        <f t="shared" si="5"/>
        <v>273.47078694492899</v>
      </c>
      <c r="H8" s="1">
        <f t="shared" si="5"/>
        <v>237.79060284430628</v>
      </c>
      <c r="I8" s="1">
        <f t="shared" si="5"/>
        <v>202.11041874368351</v>
      </c>
      <c r="J8" s="1">
        <f t="shared" si="5"/>
        <v>166.4302346430608</v>
      </c>
    </row>
    <row r="9" spans="1:10" ht="25.05" customHeight="1" x14ac:dyDescent="0.25">
      <c r="A9" s="2"/>
      <c r="B9" s="1">
        <v>270</v>
      </c>
      <c r="C9" s="1">
        <f>240*SQRT(3)/(1-3*(TAN(RADIANS(1.5))))/(COS(RADIANS(1.5)))</f>
        <v>451.28676986149793</v>
      </c>
      <c r="D9" s="1">
        <f t="shared" ref="D9:J9" si="6">240*SQRT(3)/(1-3*(TAN(RADIANS(1.5))))/(COS(RADIANS(1.5)))</f>
        <v>451.28676986149793</v>
      </c>
      <c r="E9" s="1">
        <f t="shared" si="6"/>
        <v>451.28676986149793</v>
      </c>
      <c r="F9" s="1">
        <f t="shared" si="6"/>
        <v>451.28676986149793</v>
      </c>
      <c r="G9" s="1">
        <f t="shared" si="6"/>
        <v>451.28676986149793</v>
      </c>
      <c r="H9" s="1">
        <f t="shared" si="6"/>
        <v>451.28676986149793</v>
      </c>
      <c r="I9" s="1">
        <f t="shared" si="6"/>
        <v>451.28676986149793</v>
      </c>
      <c r="J9" s="1">
        <f t="shared" si="6"/>
        <v>451.28676986149793</v>
      </c>
    </row>
    <row r="10" spans="1:10" ht="25.05" customHeight="1" x14ac:dyDescent="0.25">
      <c r="A10" s="2"/>
      <c r="B10" s="1">
        <v>315</v>
      </c>
      <c r="C10" s="1">
        <f>2*SQRT(3)*(120+1852*C2*SQRT(2)*(0.5)*TAN(RADIANS(1.5)))/(1-3*(TAN(RADIANS(1.5))*SQRT(2)*(0.5))^2)/SQRT(2)*SQRT(2+TAN(RADIANS(1.5))^2)</f>
        <v>416.19152334741995</v>
      </c>
      <c r="D10" s="1">
        <f t="shared" ref="D10:J10" si="7">2*SQRT(3)*(120+1852*D2*SQRT(2)*(0.5)*TAN(RADIANS(1.5)))/(1-3*(TAN(RADIANS(1.5))*SQRT(2)*(0.5))^2)/SQRT(2)*SQRT(2+TAN(RADIANS(1.5))^2)</f>
        <v>451.87170744804274</v>
      </c>
      <c r="E10" s="1">
        <f t="shared" si="7"/>
        <v>487.55189154866548</v>
      </c>
      <c r="F10" s="1">
        <f t="shared" si="7"/>
        <v>523.23207564928816</v>
      </c>
      <c r="G10" s="1">
        <f t="shared" si="7"/>
        <v>558.91225974991085</v>
      </c>
      <c r="H10" s="1">
        <f t="shared" si="7"/>
        <v>594.59244385053353</v>
      </c>
      <c r="I10" s="1">
        <f t="shared" si="7"/>
        <v>630.27262795115644</v>
      </c>
      <c r="J10" s="1">
        <f t="shared" si="7"/>
        <v>665.95281205177923</v>
      </c>
    </row>
  </sheetData>
  <mergeCells count="3">
    <mergeCell ref="C1:J1"/>
    <mergeCell ref="A3:A10"/>
    <mergeCell ref="A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2025-08-28T08:52:13Z</dcterms:modified>
</cp:coreProperties>
</file>