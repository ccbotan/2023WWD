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洪成松\Desktop\"/>
    </mc:Choice>
  </mc:AlternateContent>
  <xr:revisionPtr revIDLastSave="0" documentId="8_{E3B7B95A-67D6-4175-9B9B-1A92976F24B6}" xr6:coauthVersionLast="47" xr6:coauthVersionMax="47" xr10:uidLastSave="{00000000-0000-0000-0000-000000000000}"/>
  <bookViews>
    <workbookView xWindow="-108" yWindow="-108" windowWidth="23256" windowHeight="12456" xr2:uid="{569F59A4-F4AB-4610-A306-F03803C82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C4" i="1"/>
  <c r="C3" i="1"/>
  <c r="D3" i="1"/>
  <c r="E3" i="1"/>
  <c r="F3" i="1"/>
  <c r="G3" i="1"/>
  <c r="H3" i="1"/>
  <c r="I3" i="1"/>
  <c r="J3" i="1"/>
  <c r="B3" i="1"/>
  <c r="C2" i="1"/>
  <c r="D2" i="1"/>
  <c r="E2" i="1"/>
  <c r="F2" i="1"/>
  <c r="G2" i="1"/>
  <c r="H2" i="1"/>
  <c r="I2" i="1"/>
  <c r="J2" i="1"/>
  <c r="B2" i="1"/>
</calcChain>
</file>

<file path=xl/sharedStrings.xml><?xml version="1.0" encoding="utf-8"?>
<sst xmlns="http://schemas.openxmlformats.org/spreadsheetml/2006/main" count="5" uniqueCount="5">
  <si>
    <t>测线距中心点处的距离/m</t>
    <phoneticPr fontId="1" type="noConversion"/>
  </si>
  <si>
    <t>海水深度/m</t>
    <phoneticPr fontId="1" type="noConversion"/>
  </si>
  <si>
    <t>覆盖宽度/m</t>
    <phoneticPr fontId="1" type="noConversion"/>
  </si>
  <si>
    <t>与前一条测线的重叠率/%</t>
    <phoneticPr fontId="1" type="noConversion"/>
  </si>
  <si>
    <t>--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</si>
</sst>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6398-EEC0-45C7-842A-2BB3B64FA739}">
  <dimension ref="A1:J4"/>
  <sheetViews>
    <sheetView tabSelected="1" workbookViewId="0">
      <selection activeCell="I13" sqref="I13"/>
    </sheetView>
  </sheetViews>
  <sheetFormatPr defaultRowHeight="13.8" x14ac:dyDescent="0.25"/>
  <cols>
    <col min="1" max="1" width="22.88671875" customWidth="1"/>
  </cols>
  <sheetData>
    <row r="1" spans="1:10" x14ac:dyDescent="0.25">
      <c r="A1" t="s">
        <v>0</v>
      </c>
      <c r="B1">
        <v>-800</v>
      </c>
      <c r="C1">
        <v>-600</v>
      </c>
      <c r="D1">
        <v>-400</v>
      </c>
      <c r="E1">
        <v>-200</v>
      </c>
      <c r="F1">
        <v>0</v>
      </c>
      <c r="G1">
        <v>200</v>
      </c>
      <c r="H1">
        <v>400</v>
      </c>
      <c r="I1">
        <v>600</v>
      </c>
      <c r="J1">
        <v>800</v>
      </c>
    </row>
    <row r="2" spans="1:10" x14ac:dyDescent="0.25">
      <c r="A2" t="s">
        <v>1</v>
      </c>
      <c r="B2">
        <f>70-B1*TAN(RADIANS(1.5))</f>
        <v>90.948737255349542</v>
      </c>
      <c r="C2">
        <f t="shared" ref="C2:J2" si="0">70-C1*TAN(RADIANS(1.5))</f>
        <v>85.711552941512153</v>
      </c>
      <c r="D2">
        <f t="shared" si="0"/>
        <v>80.474368627674778</v>
      </c>
      <c r="E2">
        <f t="shared" si="0"/>
        <v>75.237184313837389</v>
      </c>
      <c r="F2">
        <f t="shared" si="0"/>
        <v>70</v>
      </c>
      <c r="G2">
        <f t="shared" si="0"/>
        <v>64.762815686162611</v>
      </c>
      <c r="H2">
        <f t="shared" si="0"/>
        <v>59.525631372325229</v>
      </c>
      <c r="I2">
        <f t="shared" si="0"/>
        <v>54.28844705848784</v>
      </c>
      <c r="J2">
        <f t="shared" si="0"/>
        <v>49.051262744650458</v>
      </c>
    </row>
    <row r="3" spans="1:10" x14ac:dyDescent="0.25">
      <c r="A3" t="s">
        <v>2</v>
      </c>
      <c r="B3">
        <f>2*SQRT(3)*B2/(1-3*(TAN(RADIANS(1.5)))^2)*COS(RADIANS(1.5))</f>
        <v>315.59692269809528</v>
      </c>
      <c r="C3">
        <f t="shared" ref="C3:J3" si="1">2*SQRT(3)*C2/(1-3*(TAN(RADIANS(1.5)))^2)*COS(RADIANS(1.5))</f>
        <v>297.42361647165183</v>
      </c>
      <c r="D3">
        <f t="shared" si="1"/>
        <v>279.25031024520842</v>
      </c>
      <c r="E3">
        <f t="shared" si="1"/>
        <v>261.07700401876491</v>
      </c>
      <c r="F3">
        <f t="shared" si="1"/>
        <v>242.90369779232145</v>
      </c>
      <c r="G3">
        <f t="shared" si="1"/>
        <v>224.73039156587797</v>
      </c>
      <c r="H3">
        <f t="shared" si="1"/>
        <v>206.55708533943448</v>
      </c>
      <c r="I3">
        <f t="shared" si="1"/>
        <v>188.38377911299105</v>
      </c>
      <c r="J3">
        <f t="shared" si="1"/>
        <v>170.21047288654759</v>
      </c>
    </row>
    <row r="4" spans="1:10" x14ac:dyDescent="0.25">
      <c r="A4" t="s">
        <v>3</v>
      </c>
      <c r="B4" s="1" t="s">
        <v>4</v>
      </c>
      <c r="C4">
        <f>100*(1-200*TAN(RADIANS(1.5))/((1-SQRT(3)*TAN(RADIANS(1.5)))*SIN(RADIANS(1.5)))/B3)</f>
        <v>33.594456036150369</v>
      </c>
      <c r="D4">
        <f t="shared" ref="D4:J4" si="2">100*(1-200*TAN(RADIANS(1.5))/((1-SQRT(3)*TAN(RADIANS(1.5)))*SIN(RADIANS(1.5)))/C3)</f>
        <v>29.536915818244978</v>
      </c>
      <c r="E4">
        <f t="shared" si="2"/>
        <v>24.951254998852335</v>
      </c>
      <c r="F4">
        <f t="shared" si="2"/>
        <v>19.727187755005382</v>
      </c>
      <c r="G4">
        <f t="shared" si="2"/>
        <v>13.721423281903967</v>
      </c>
      <c r="H4">
        <f t="shared" si="2"/>
        <v>6.7443206988738407</v>
      </c>
      <c r="I4">
        <f t="shared" si="2"/>
        <v>-1.4605008133457664</v>
      </c>
      <c r="J4">
        <f t="shared" si="2"/>
        <v>-11.248353885681173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Senlong Chen</dc:creator>
  <cp:lastModifiedBy>芸汐 韩</cp:lastModifiedBy>
  <dcterms:created xsi:type="dcterms:W3CDTF">2025-08-28T07:36:30Z</dcterms:created>
  <dcterms:modified xsi:type="dcterms:W3CDTF">2025-08-28T08:30:44Z</dcterms:modified>
</cp:coreProperties>
</file>