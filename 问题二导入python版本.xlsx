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charm\2023WWD\"/>
    </mc:Choice>
  </mc:AlternateContent>
  <xr:revisionPtr revIDLastSave="0" documentId="13_ncr:1_{6CA5D20D-1AF5-4743-83DC-5BF459F03911}" xr6:coauthVersionLast="47" xr6:coauthVersionMax="47" xr10:uidLastSave="{00000000-0000-0000-0000-000000000000}"/>
  <bookViews>
    <workbookView xWindow="1103" yWindow="1103" windowWidth="11715" windowHeight="10620" xr2:uid="{6D531E2A-59EF-4B8A-9809-BD13E0617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H3" i="1"/>
  <c r="F3" i="1"/>
  <c r="D3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86DB-EC63-401E-9FB3-EBDD1480E77F}">
  <dimension ref="A2:I10"/>
  <sheetViews>
    <sheetView tabSelected="1" workbookViewId="0">
      <selection activeCell="I4" sqref="I4"/>
    </sheetView>
  </sheetViews>
  <sheetFormatPr defaultRowHeight="13.9" x14ac:dyDescent="0.4"/>
  <sheetData>
    <row r="2" spans="1:9" ht="15.75" x14ac:dyDescent="0.4">
      <c r="B2" s="1">
        <v>0</v>
      </c>
      <c r="C2" s="1">
        <v>0.3</v>
      </c>
      <c r="D2" s="1">
        <v>0.6</v>
      </c>
      <c r="E2" s="1">
        <v>0.9</v>
      </c>
      <c r="F2" s="1">
        <v>1.2</v>
      </c>
      <c r="G2" s="1">
        <v>1.5</v>
      </c>
      <c r="H2" s="1">
        <v>1.8</v>
      </c>
      <c r="I2" s="1">
        <v>2.1</v>
      </c>
    </row>
    <row r="3" spans="1:9" ht="15.75" x14ac:dyDescent="0.4">
      <c r="A3" s="1">
        <v>0</v>
      </c>
      <c r="B3" s="1">
        <f>2*SQRT(3)*(120+1852*B2*TAN(RADIANS(1.5)))/(1-3*(TAN(RADIANS(1.5)))^2)/COS(RADIANS(1.5))</f>
        <v>416.69186993545009</v>
      </c>
      <c r="C3" s="1">
        <v>467.21199999999999</v>
      </c>
      <c r="D3" s="1">
        <f t="shared" ref="D3" si="0">2*SQRT(3)*(120+1852*D2*TAN(RADIANS(1.5)))/(1-3*(TAN(RADIANS(1.5)))^2)/COS(RADIANS(1.5))</f>
        <v>517.73199531968635</v>
      </c>
      <c r="E3" s="1">
        <v>568.25199999999995</v>
      </c>
      <c r="F3" s="1">
        <f t="shared" ref="F3" si="1">2*SQRT(3)*(120+1852*F2*TAN(RADIANS(1.5)))/(1-3*(TAN(RADIANS(1.5)))^2)/COS(RADIANS(1.5))</f>
        <v>618.7721207039225</v>
      </c>
      <c r="G3" s="1">
        <v>669.77200000000005</v>
      </c>
      <c r="H3" s="1">
        <f t="shared" ref="H3" si="2">2*SQRT(3)*(120+1852*H2*TAN(RADIANS(1.5)))/(1-3*(TAN(RADIANS(1.5)))^2)/COS(RADIANS(1.5))</f>
        <v>719.81224608815887</v>
      </c>
      <c r="I3" s="1">
        <v>770.33199999999999</v>
      </c>
    </row>
    <row r="4" spans="1:9" ht="15.75" x14ac:dyDescent="0.4">
      <c r="A4" s="1">
        <v>45</v>
      </c>
      <c r="B4" s="1">
        <f>2*SQRT(3)*(120+1852*B2*SQRT(2)*(0.5)*TAN(RADIANS(1.5)))/(1-3*(TAN(RADIANS(1.5))*SQRT(2)*(0.5))^2)/SQRT(2)*SQRT(2+TAN(RADIANS(1.5))^2)</f>
        <v>416.19152334741995</v>
      </c>
      <c r="C4" s="1">
        <f t="shared" ref="C4:I4" si="3">2*SQRT(3)*(120+1852*C2*SQRT(2)*(0.5)*TAN(RADIANS(1.5)))/(1-3*(TAN(RADIANS(1.5))*SQRT(2)*(0.5))^2)/SQRT(2)*SQRT(2+TAN(RADIANS(1.5))^2)</f>
        <v>451.87170744804274</v>
      </c>
      <c r="D4" s="1">
        <f t="shared" si="3"/>
        <v>487.55189154866548</v>
      </c>
      <c r="E4" s="1">
        <f t="shared" si="3"/>
        <v>523.23207564928816</v>
      </c>
      <c r="F4" s="1">
        <f t="shared" si="3"/>
        <v>558.91225974991085</v>
      </c>
      <c r="G4" s="1">
        <f t="shared" si="3"/>
        <v>594.59244385053353</v>
      </c>
      <c r="H4" s="1">
        <f t="shared" si="3"/>
        <v>630.27262795115644</v>
      </c>
      <c r="I4" s="1">
        <f t="shared" si="3"/>
        <v>665.95281205177923</v>
      </c>
    </row>
    <row r="5" spans="1:9" ht="15.75" x14ac:dyDescent="0.4">
      <c r="A5" s="1">
        <v>90</v>
      </c>
      <c r="B5" s="1">
        <f>240*SQRT(3)/(1-3*(TAN(RADIANS(1.5)))^2)/(COS(RADIANS(1.5)))</f>
        <v>416.69186993545009</v>
      </c>
      <c r="C5" s="1">
        <f t="shared" ref="C5:I5" si="4">240*SQRT(3)/(1-3*(TAN(RADIANS(1.5)))^2)/(COS(RADIANS(1.5)))</f>
        <v>416.69186993545009</v>
      </c>
      <c r="D5" s="1">
        <f t="shared" si="4"/>
        <v>416.69186993545009</v>
      </c>
      <c r="E5" s="1">
        <f t="shared" si="4"/>
        <v>416.69186993545009</v>
      </c>
      <c r="F5" s="1">
        <f t="shared" si="4"/>
        <v>416.69186993545009</v>
      </c>
      <c r="G5" s="1">
        <f t="shared" si="4"/>
        <v>416.69186993545009</v>
      </c>
      <c r="H5" s="1">
        <f t="shared" si="4"/>
        <v>416.69186993545009</v>
      </c>
      <c r="I5" s="1">
        <f t="shared" si="4"/>
        <v>416.69186993545009</v>
      </c>
    </row>
    <row r="6" spans="1:9" ht="15.75" x14ac:dyDescent="0.4">
      <c r="A6" s="1">
        <v>135</v>
      </c>
      <c r="B6" s="1">
        <f>2*SQRT(3)*(120-1852*B2*SQRT(2)*(0.5)*TAN(RADIANS(1.5)))/(1-3*(TAN(RADIANS(1.5))*SQRT(2)*(0.5))^2)/SQRT(2)*SQRT(2+TAN(RADIANS(1.5))^2)</f>
        <v>416.19152334741995</v>
      </c>
      <c r="C6" s="1">
        <f t="shared" ref="C6:I6" si="5">2*SQRT(3)*(120-1852*C2*SQRT(2)*(0.5)*TAN(RADIANS(1.5)))/(1-3*(TAN(RADIANS(1.5))*SQRT(2)*(0.5))^2)/SQRT(2)*SQRT(2+TAN(RADIANS(1.5))^2)</f>
        <v>380.51133924679726</v>
      </c>
      <c r="D6" s="1">
        <f t="shared" si="5"/>
        <v>344.83115514617452</v>
      </c>
      <c r="E6" s="1">
        <f t="shared" si="5"/>
        <v>309.15097104555173</v>
      </c>
      <c r="F6" s="1">
        <f t="shared" si="5"/>
        <v>273.47078694492899</v>
      </c>
      <c r="G6" s="1">
        <f t="shared" si="5"/>
        <v>237.79060284430628</v>
      </c>
      <c r="H6" s="1">
        <f t="shared" si="5"/>
        <v>202.11041874368351</v>
      </c>
      <c r="I6" s="1">
        <f t="shared" si="5"/>
        <v>166.4302346430608</v>
      </c>
    </row>
    <row r="7" spans="1:9" ht="15.75" x14ac:dyDescent="0.4">
      <c r="A7" s="1">
        <v>180</v>
      </c>
      <c r="B7" s="1">
        <f>2*SQRT(3)*(120-1852*B2*TAN(RADIANS(1.5)))/(1-3*(TAN(RADIANS(1.5)))^2)/COS(RADIANS(1.5))</f>
        <v>416.69186993545009</v>
      </c>
      <c r="C7" s="1">
        <f t="shared" ref="C7:I7" si="6">2*SQRT(3)*(120-1852*C2*TAN(RADIANS(1.5)))/(1-3*(TAN(RADIANS(1.5)))^2)/COS(RADIANS(1.5))</f>
        <v>366.17180724333207</v>
      </c>
      <c r="D7" s="1">
        <f t="shared" si="6"/>
        <v>315.65174455121394</v>
      </c>
      <c r="E7" s="1">
        <f t="shared" si="6"/>
        <v>265.13168185909581</v>
      </c>
      <c r="F7" s="1">
        <f t="shared" si="6"/>
        <v>214.61161916697773</v>
      </c>
      <c r="G7" s="1">
        <f t="shared" si="6"/>
        <v>164.09155647485963</v>
      </c>
      <c r="H7" s="1">
        <f t="shared" si="6"/>
        <v>113.5714937827415</v>
      </c>
      <c r="I7" s="1">
        <f t="shared" si="6"/>
        <v>63.051431090623375</v>
      </c>
    </row>
    <row r="8" spans="1:9" ht="15.75" x14ac:dyDescent="0.4">
      <c r="A8" s="1">
        <v>225</v>
      </c>
      <c r="B8" s="1">
        <f>2*SQRT(3)*(120-1852*B2*SQRT(2)*(0.5)*TAN(RADIANS(1.5)))/(1-3*(TAN(RADIANS(1.5))*SQRT(2)*(0.5))^2)/SQRT(2)*SQRT(2+TAN(RADIANS(1.5))^2)</f>
        <v>416.19152334741995</v>
      </c>
      <c r="C8" s="1">
        <f t="shared" ref="C8:I8" si="7">2*SQRT(3)*(120-1852*C2*SQRT(2)*(0.5)*TAN(RADIANS(1.5)))/(1-3*(TAN(RADIANS(1.5))*SQRT(2)*(0.5))^2)/SQRT(2)*SQRT(2+TAN(RADIANS(1.5))^2)</f>
        <v>380.51133924679726</v>
      </c>
      <c r="D8" s="1">
        <f t="shared" si="7"/>
        <v>344.83115514617452</v>
      </c>
      <c r="E8" s="1">
        <f t="shared" si="7"/>
        <v>309.15097104555173</v>
      </c>
      <c r="F8" s="1">
        <f t="shared" si="7"/>
        <v>273.47078694492899</v>
      </c>
      <c r="G8" s="1">
        <f t="shared" si="7"/>
        <v>237.79060284430628</v>
      </c>
      <c r="H8" s="1">
        <f t="shared" si="7"/>
        <v>202.11041874368351</v>
      </c>
      <c r="I8" s="1">
        <f t="shared" si="7"/>
        <v>166.4302346430608</v>
      </c>
    </row>
    <row r="9" spans="1:9" ht="15.75" x14ac:dyDescent="0.4">
      <c r="A9" s="1">
        <v>270</v>
      </c>
      <c r="B9" s="1">
        <f>240*SQRT(3)/(1-3*(TAN(RADIANS(1.5)))^2)/(COS(RADIANS(1.5)))</f>
        <v>416.69186993545009</v>
      </c>
      <c r="C9" s="1">
        <f t="shared" ref="C9:I9" si="8">240*SQRT(3)/(1-3*(TAN(RADIANS(1.5)))^2)/(COS(RADIANS(1.5)))</f>
        <v>416.69186993545009</v>
      </c>
      <c r="D9" s="1">
        <f t="shared" si="8"/>
        <v>416.69186993545009</v>
      </c>
      <c r="E9" s="1">
        <f t="shared" si="8"/>
        <v>416.69186993545009</v>
      </c>
      <c r="F9" s="1">
        <f t="shared" si="8"/>
        <v>416.69186993545009</v>
      </c>
      <c r="G9" s="1">
        <f t="shared" si="8"/>
        <v>416.69186993545009</v>
      </c>
      <c r="H9" s="1">
        <f t="shared" si="8"/>
        <v>416.69186993545009</v>
      </c>
      <c r="I9" s="1">
        <f t="shared" si="8"/>
        <v>416.69186993545009</v>
      </c>
    </row>
    <row r="10" spans="1:9" ht="15.75" x14ac:dyDescent="0.4">
      <c r="A10" s="1">
        <v>315</v>
      </c>
      <c r="B10" s="1">
        <f>2*SQRT(3)*(120+1852*B2*SQRT(2)*(0.5)*TAN(RADIANS(1.5)))/(1-3*(TAN(RADIANS(1.5))*SQRT(2)*(0.5))^2)/SQRT(2)*SQRT(2+TAN(RADIANS(1.5))^2)</f>
        <v>416.19152334741995</v>
      </c>
      <c r="C10" s="1">
        <f t="shared" ref="C10:I10" si="9">2*SQRT(3)*(120+1852*C2*SQRT(2)*(0.5)*TAN(RADIANS(1.5)))/(1-3*(TAN(RADIANS(1.5))*SQRT(2)*(0.5))^2)/SQRT(2)*SQRT(2+TAN(RADIANS(1.5))^2)</f>
        <v>451.87170744804274</v>
      </c>
      <c r="D10" s="1">
        <f t="shared" si="9"/>
        <v>487.55189154866548</v>
      </c>
      <c r="E10" s="1">
        <f t="shared" si="9"/>
        <v>523.23207564928816</v>
      </c>
      <c r="F10" s="1">
        <f t="shared" si="9"/>
        <v>558.91225974991085</v>
      </c>
      <c r="G10" s="1">
        <f t="shared" si="9"/>
        <v>594.59244385053353</v>
      </c>
      <c r="H10" s="1">
        <f t="shared" si="9"/>
        <v>630.27262795115644</v>
      </c>
      <c r="I10" s="1">
        <f t="shared" si="9"/>
        <v>665.95281205177923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 汉</dc:creator>
  <cp:lastModifiedBy>雨 汉</cp:lastModifiedBy>
  <dcterms:created xsi:type="dcterms:W3CDTF">2025-08-30T03:15:44Z</dcterms:created>
  <dcterms:modified xsi:type="dcterms:W3CDTF">2025-08-30T08:14:26Z</dcterms:modified>
</cp:coreProperties>
</file>